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I:\Novo Portfolio\cursos\excel_com_ia_fundamentos\"/>
    </mc:Choice>
  </mc:AlternateContent>
  <xr:revisionPtr revIDLastSave="0" documentId="13_ncr:1_{131A4567-1B81-4650-B94D-5B8ACFF564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tes" sheetId="1" r:id="rId1"/>
    <sheet name="Depois (Planilha Inteligente)" sheetId="2" r:id="rId2"/>
    <sheet name="Como pedir ao Claude" sheetId="3" r:id="rId3"/>
  </sheets>
  <definedNames>
    <definedName name="_xlnm._FilterDatabase" localSheetId="1" hidden="1">'Depois (Planilha Inteligente)'!$A$4:$F$16</definedName>
    <definedName name="_xlnm.Print_Area" localSheetId="1">'Depois (Planilha Inteligente)'!$A$1:$F$22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2" l="1"/>
  <c r="F15" i="2"/>
  <c r="C22" i="2" s="1"/>
  <c r="F14" i="2"/>
  <c r="F13" i="2"/>
  <c r="F12" i="2"/>
  <c r="F11" i="2"/>
  <c r="F10" i="2"/>
  <c r="F9" i="2"/>
  <c r="F8" i="2"/>
  <c r="F7" i="2"/>
  <c r="F6" i="2"/>
  <c r="F5" i="2"/>
  <c r="C21" i="2" s="1"/>
  <c r="D2" i="2"/>
  <c r="C2" i="2"/>
  <c r="C19" i="2" l="1"/>
  <c r="C20" i="2"/>
</calcChain>
</file>

<file path=xl/sharedStrings.xml><?xml version="1.0" encoding="utf-8"?>
<sst xmlns="http://schemas.openxmlformats.org/spreadsheetml/2006/main" count="104" uniqueCount="93">
  <si>
    <t>PLANILHA DA MARIANA — COMO ESTAVA (sem organização, sem fórmulas)</t>
  </si>
  <si>
    <t>data</t>
  </si>
  <si>
    <t>produto</t>
  </si>
  <si>
    <t>qtd</t>
  </si>
  <si>
    <t>valor</t>
  </si>
  <si>
    <t>pagamento</t>
  </si>
  <si>
    <t>01/06/26</t>
  </si>
  <si>
    <t>cafeteira eletrica</t>
  </si>
  <si>
    <t>3</t>
  </si>
  <si>
    <t>R$189,90</t>
  </si>
  <si>
    <t>credito</t>
  </si>
  <si>
    <t>1/6/2026</t>
  </si>
  <si>
    <t>Fone bluetooth</t>
  </si>
  <si>
    <t>8</t>
  </si>
  <si>
    <t>99,90</t>
  </si>
  <si>
    <t>pix</t>
  </si>
  <si>
    <t>02-06</t>
  </si>
  <si>
    <t xml:space="preserve">liquidificador </t>
  </si>
  <si>
    <t>2</t>
  </si>
  <si>
    <t>R$ 149</t>
  </si>
  <si>
    <t>debito</t>
  </si>
  <si>
    <t>02/06/2026</t>
  </si>
  <si>
    <t>SMART TV 43</t>
  </si>
  <si>
    <t>1</t>
  </si>
  <si>
    <t>1.899,00</t>
  </si>
  <si>
    <t>Cartao Credito</t>
  </si>
  <si>
    <t>3 jun</t>
  </si>
  <si>
    <t>ventilador</t>
  </si>
  <si>
    <t>5</t>
  </si>
  <si>
    <t>89,9</t>
  </si>
  <si>
    <t xml:space="preserve">dinheiro </t>
  </si>
  <si>
    <t>air fryer</t>
  </si>
  <si>
    <t>349</t>
  </si>
  <si>
    <t>Pix</t>
  </si>
  <si>
    <t>04/06/26</t>
  </si>
  <si>
    <t>aspirador</t>
  </si>
  <si>
    <t>R$259,90</t>
  </si>
  <si>
    <t>Problemas: datas em formatos diferentes, valores como texto, sem totais, sem média/maior/menor, sem gráfico.</t>
  </si>
  <si>
    <t>CONTROLE DE VENDAS — LOJA DA MARIANA</t>
  </si>
  <si>
    <t>Relatório gerado em:</t>
  </si>
  <si>
    <t>Data da Venda</t>
  </si>
  <si>
    <t>Produto</t>
  </si>
  <si>
    <t>Quantidade</t>
  </si>
  <si>
    <t>Valor Unitário</t>
  </si>
  <si>
    <t>Forma de Pagamento</t>
  </si>
  <si>
    <t>Total</t>
  </si>
  <si>
    <t>Cafeteira Elétrica</t>
  </si>
  <si>
    <t>Cartão de Crédito</t>
  </si>
  <si>
    <t>Fone Bluetooth</t>
  </si>
  <si>
    <t>Liquidificador</t>
  </si>
  <si>
    <t>Cartão de Débito</t>
  </si>
  <si>
    <t>Smart TV 43"</t>
  </si>
  <si>
    <t>Ventilador de Mesa</t>
  </si>
  <si>
    <t>Dinheiro</t>
  </si>
  <si>
    <t>Air Fryer</t>
  </si>
  <si>
    <t>Aspirador de Pó</t>
  </si>
  <si>
    <t>Mouse sem Fio</t>
  </si>
  <si>
    <t>Teclado Mecânico</t>
  </si>
  <si>
    <t>Caixa de Som Portátil</t>
  </si>
  <si>
    <t>Micro-ondas</t>
  </si>
  <si>
    <t>Carregador Turbo</t>
  </si>
  <si>
    <t>RESUMO</t>
  </si>
  <si>
    <t>Total de Vendas (R$)</t>
  </si>
  <si>
    <t>Ticket Médio (R$)</t>
  </si>
  <si>
    <t>Maior Venda (R$)</t>
  </si>
  <si>
    <t>Menor Venda (R$)</t>
  </si>
  <si>
    <t>COMO USAR UMA IA EXTERNA (Claude / ChatGPT / Gemini) COMO APOIO</t>
  </si>
  <si>
    <t>A IA NÃO está dentro do Excel. O aluno descreve o que quer em linguagem natural, a IA responde com a fórmula/explicação e o aluno copia para a célula. Sempre conferir o resultado.</t>
  </si>
  <si>
    <t>Aula / Momento</t>
  </si>
  <si>
    <t>O que o aluno quer fazer</t>
  </si>
  <si>
    <t>Prompt para colar no Claude</t>
  </si>
  <si>
    <t>Aula 2 — Total</t>
  </si>
  <si>
    <t>Calcular o total de cada venda</t>
  </si>
  <si>
    <t>Aula 2 — Data/Hora</t>
  </si>
  <si>
    <t>Registrar data e hora automáticas</t>
  </si>
  <si>
    <t>Quero que a planilha mostre sozinha a data de hoje e a hora atual, que se atualizam quando eu abro o arquivo. Quais funções do Excel uso e qual a diferença entre elas?</t>
  </si>
  <si>
    <t>Aula 3 — Estatística</t>
  </si>
  <si>
    <t>Entender e aplicar MÉDIA/MÁX/MÍN</t>
  </si>
  <si>
    <t>Tenho os valores de Total das vendas na coluna F (F5 até F16). Me dê as fórmulas em português do Excel para: soma de tudo, média, maior valor e menor valor. Explique a diferença entre MÉDIA, MÁXIMO e MÍNIMO.</t>
  </si>
  <si>
    <t>Aula 3 — Validação</t>
  </si>
  <si>
    <t>Pedir revisão da organização</t>
  </si>
  <si>
    <t>Vou te descrever as colunas da minha planilha de vendas: Data, Produto, Quantidade, Valor Unitário, Forma de Pagamento e Total. Essa estrutura está boa para analisar os dados? O que você melhoraria?</t>
  </si>
  <si>
    <t>Aula 3 — Filtro</t>
  </si>
  <si>
    <t>Classificar e filtrar</t>
  </si>
  <si>
    <t>Como eu classifico essa tabela do maior para o menor Total e como aplico um filtro para ver só as vendas pagas no Pix? Me dê o passo a passo no Excel.</t>
  </si>
  <si>
    <t>Aula 4 — Gráfico</t>
  </si>
  <si>
    <t>Escolher o gráfico certo</t>
  </si>
  <si>
    <t>Quero um gráfico que compare o Total de vendas por produto. Qual tipo de gráfico é o mais indicado e como eu insiro ele no Excel a partir das colunas Produto e Total?</t>
  </si>
  <si>
    <t>Aula 4 — Apresentação</t>
  </si>
  <si>
    <t>Deixar pronta para impressão</t>
  </si>
  <si>
    <t>Como deixo essa planilha mais profissional para imprimir e apresentar: orientação da página, cabeçalho, rodapé com número de página e área de impressão? Passo a passo no Excel.</t>
  </si>
  <si>
    <t>⚠ Lembretes: (1) a IA pode errar — confira a fórmula; (2) não cole dados pessoais/sensíveis reais de clientes; (3) use conta Gmail/Microsoft; (4) a fórmula vem em PT-BR no Excel brasileiro (use ; como separador).</t>
  </si>
  <si>
    <t>No Excel, tenho a Quantidade na coluna C e o Valor Unitário na coluna D, a partir da linha 5. Qual fórmula coloco na coluna Total (F5) para multiplicar os dois? Explique como se eu nunca tivesse usado fórmula.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</si>
</sst>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10" x14ac:knownFonts="1">
    <font>
      <sz val="11"/>
      <color theme="1"/>
      <name val="Calibri"/>
      <family val="2"/>
      <scheme val="minor"/>
    </font>
    <font>
      <b/>
      <sz val="12"/>
      <color rgb="FFC00000"/>
      <name val="Calibri"/>
    </font>
    <font>
      <b/>
      <sz val="11"/>
      <name val="Calibri"/>
    </font>
    <font>
      <i/>
      <sz val="11"/>
      <color rgb="FF808080"/>
      <name val="Calibri"/>
    </font>
    <font>
      <b/>
      <sz val="16"/>
      <color rgb="FF1F4E79"/>
      <name val="Calibri"/>
    </font>
    <font>
      <b/>
      <sz val="11"/>
      <color rgb="FFFFFFFF"/>
      <name val="Calibri"/>
    </font>
    <font>
      <b/>
      <sz val="12"/>
      <color rgb="FF1F4E79"/>
      <name val="Calibri"/>
    </font>
    <font>
      <b/>
      <sz val="11"/>
      <color rgb="FF1F4E79"/>
      <name val="Calibri"/>
    </font>
    <font>
      <b/>
      <sz val="13"/>
      <color rgb="FF7030A0"/>
      <name val="Calibri"/>
    </font>
    <font>
      <b/>
      <i/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7030A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/>
    <xf numFmtId="0" fontId="6" fillId="0" borderId="0" xfId="0" applyFont="1"/>
    <xf numFmtId="0" fontId="2" fillId="4" borderId="1" xfId="0" applyFont="1" applyFill="1" applyBorder="1"/>
    <xf numFmtId="164" fontId="7" fillId="4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8" fillId="0" borderId="0" xfId="0" applyFont="1"/>
    <xf numFmtId="0" fontId="0" fillId="0" borderId="0" xfId="0"/>
    <xf numFmtId="0" fontId="9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Total de Vendas por Produto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'Depois (Planilha Inteligente)'!$F$4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'Depois (Planilha Inteligente)'!$B$5:$B$16</c:f>
              <c:strCache>
                <c:ptCount val="12"/>
                <c:pt idx="0">
                  <c:v>Cafeteira Elétrica</c:v>
                </c:pt>
                <c:pt idx="1">
                  <c:v>Fone Bluetooth</c:v>
                </c:pt>
                <c:pt idx="2">
                  <c:v>Liquidificador</c:v>
                </c:pt>
                <c:pt idx="3">
                  <c:v>Smart TV 43"</c:v>
                </c:pt>
                <c:pt idx="4">
                  <c:v>Ventilador de Mesa</c:v>
                </c:pt>
                <c:pt idx="5">
                  <c:v>Air Fryer</c:v>
                </c:pt>
                <c:pt idx="6">
                  <c:v>Aspirador de Pó</c:v>
                </c:pt>
                <c:pt idx="7">
                  <c:v>Mouse sem Fio</c:v>
                </c:pt>
                <c:pt idx="8">
                  <c:v>Teclado Mecânico</c:v>
                </c:pt>
                <c:pt idx="9">
                  <c:v>Caixa de Som Portátil</c:v>
                </c:pt>
                <c:pt idx="10">
                  <c:v>Micro-ondas</c:v>
                </c:pt>
                <c:pt idx="11">
                  <c:v>Carregador Turbo</c:v>
                </c:pt>
              </c:strCache>
            </c:strRef>
          </c:cat>
          <c:val>
            <c:numRef>
              <c:f>'Depois (Planilha Inteligente)'!$F$5:$F$16</c:f>
              <c:numCache>
                <c:formatCode>\R\$\ #,##0.00</c:formatCode>
                <c:ptCount val="12"/>
                <c:pt idx="0">
                  <c:v>569.70000000000005</c:v>
                </c:pt>
                <c:pt idx="1">
                  <c:v>799.2</c:v>
                </c:pt>
                <c:pt idx="2">
                  <c:v>298</c:v>
                </c:pt>
                <c:pt idx="3">
                  <c:v>1899</c:v>
                </c:pt>
                <c:pt idx="4">
                  <c:v>449.5</c:v>
                </c:pt>
                <c:pt idx="5">
                  <c:v>1396</c:v>
                </c:pt>
                <c:pt idx="6">
                  <c:v>519.79999999999995</c:v>
                </c:pt>
                <c:pt idx="7">
                  <c:v>718.8</c:v>
                </c:pt>
                <c:pt idx="8">
                  <c:v>1314</c:v>
                </c:pt>
                <c:pt idx="9">
                  <c:v>1119.3</c:v>
                </c:pt>
                <c:pt idx="10">
                  <c:v>1158</c:v>
                </c:pt>
                <c:pt idx="11">
                  <c:v>748.5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BC-4FFA-A84F-C7151C76F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Produto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R$</a:t>
                </a:r>
              </a:p>
            </c:rich>
          </c:tx>
          <c:overlay val="1"/>
        </c:title>
        <c:numFmt formatCode="\R\$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72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E12"/>
  <sheetViews>
    <sheetView tabSelected="1" workbookViewId="0">
      <selection activeCell="B25" sqref="B25"/>
    </sheetView>
  </sheetViews>
  <sheetFormatPr defaultRowHeight="15" x14ac:dyDescent="0.25"/>
  <cols>
    <col min="1" max="1" width="14" customWidth="1"/>
    <col min="2" max="2" width="22" customWidth="1"/>
    <col min="3" max="3" width="8" customWidth="1"/>
    <col min="4" max="4" width="14" customWidth="1"/>
    <col min="5" max="5" width="18" customWidth="1"/>
  </cols>
  <sheetData>
    <row r="1" spans="1:5" ht="15.75" x14ac:dyDescent="0.25">
      <c r="A1" s="26" t="s">
        <v>0</v>
      </c>
      <c r="B1" s="23"/>
      <c r="C1" s="23"/>
      <c r="D1" s="23"/>
      <c r="E1" s="23"/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 t="s">
        <v>6</v>
      </c>
      <c r="B4" t="s">
        <v>7</v>
      </c>
      <c r="C4" t="s">
        <v>8</v>
      </c>
      <c r="D4" t="s">
        <v>9</v>
      </c>
      <c r="E4" t="s">
        <v>10</v>
      </c>
    </row>
    <row r="5" spans="1:5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</row>
    <row r="6" spans="1:5" x14ac:dyDescent="0.25">
      <c r="A6" t="s">
        <v>16</v>
      </c>
      <c r="B6" t="s">
        <v>17</v>
      </c>
      <c r="C6" t="s">
        <v>18</v>
      </c>
      <c r="D6" t="s">
        <v>19</v>
      </c>
      <c r="E6" t="s">
        <v>20</v>
      </c>
    </row>
    <row r="7" spans="1:5" x14ac:dyDescent="0.25">
      <c r="A7" t="s">
        <v>21</v>
      </c>
      <c r="B7" t="s">
        <v>22</v>
      </c>
      <c r="C7" t="s">
        <v>23</v>
      </c>
      <c r="D7" t="s">
        <v>24</v>
      </c>
      <c r="E7" t="s">
        <v>25</v>
      </c>
    </row>
    <row r="8" spans="1:5" x14ac:dyDescent="0.25">
      <c r="A8" t="s">
        <v>26</v>
      </c>
      <c r="B8" t="s">
        <v>27</v>
      </c>
      <c r="C8" t="s">
        <v>28</v>
      </c>
      <c r="D8" t="s">
        <v>29</v>
      </c>
      <c r="E8" t="s">
        <v>30</v>
      </c>
    </row>
    <row r="9" spans="1:5" x14ac:dyDescent="0.25">
      <c r="B9" t="s">
        <v>31</v>
      </c>
      <c r="D9" t="s">
        <v>32</v>
      </c>
      <c r="E9" t="s">
        <v>33</v>
      </c>
    </row>
    <row r="10" spans="1:5" x14ac:dyDescent="0.25">
      <c r="A10" t="s">
        <v>34</v>
      </c>
      <c r="B10" t="s">
        <v>35</v>
      </c>
      <c r="C10" t="s">
        <v>18</v>
      </c>
      <c r="D10" t="s">
        <v>36</v>
      </c>
      <c r="E10" t="s">
        <v>10</v>
      </c>
    </row>
    <row r="12" spans="1:5" x14ac:dyDescent="0.25">
      <c r="A12" s="27" t="s">
        <v>37</v>
      </c>
      <c r="B12" s="23"/>
      <c r="C12" s="23"/>
      <c r="D12" s="23"/>
      <c r="E12" s="23"/>
    </row>
  </sheetData>
  <mergeCells count="2">
    <mergeCell ref="A1:E1"/>
    <mergeCell ref="A12:E12"/>
  </mergeCells>
  <pageMargins left="0.75" right="0.75" top="1" bottom="1" header="0.5" footer="0.5"/>
  <ignoredErrors>
    <ignoredError sqref="C4:D10" numberStoredAsText="1"/>
    <ignoredError sqref="A4:A10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  <pageSetUpPr fitToPage="1"/>
  </sheetPr>
  <dimension ref="A1:F22"/>
  <sheetViews>
    <sheetView workbookViewId="0">
      <pane ySplit="4" topLeftCell="A5" activePane="bottomLeft" state="frozen"/>
      <selection pane="bottomLeft" activeCell="E5" sqref="E5"/>
    </sheetView>
  </sheetViews>
  <sheetFormatPr defaultRowHeight="15" x14ac:dyDescent="0.25"/>
  <cols>
    <col min="1" max="1" width="14" customWidth="1"/>
    <col min="2" max="2" width="24" customWidth="1"/>
    <col min="3" max="3" width="12" customWidth="1"/>
    <col min="4" max="4" width="16" customWidth="1"/>
    <col min="5" max="5" width="20" customWidth="1"/>
    <col min="6" max="6" width="16" customWidth="1"/>
  </cols>
  <sheetData>
    <row r="1" spans="1:6" ht="21" x14ac:dyDescent="0.25">
      <c r="A1" s="28" t="s">
        <v>38</v>
      </c>
      <c r="B1" s="23"/>
      <c r="C1" s="23"/>
      <c r="D1" s="23"/>
      <c r="E1" s="23"/>
      <c r="F1" s="23"/>
    </row>
    <row r="2" spans="1:6" x14ac:dyDescent="0.25">
      <c r="A2" s="2" t="s">
        <v>39</v>
      </c>
      <c r="C2" s="3">
        <f ca="1">TODAY()</f>
        <v>46189</v>
      </c>
      <c r="D2" s="4">
        <f ca="1">NOW()</f>
        <v>46189.461870833336</v>
      </c>
    </row>
    <row r="4" spans="1:6" x14ac:dyDescent="0.25">
      <c r="A4" s="5" t="s">
        <v>40</v>
      </c>
      <c r="B4" s="5" t="s">
        <v>41</v>
      </c>
      <c r="C4" s="5" t="s">
        <v>42</v>
      </c>
      <c r="D4" s="5" t="s">
        <v>43</v>
      </c>
      <c r="E4" s="5" t="s">
        <v>44</v>
      </c>
      <c r="F4" s="5" t="s">
        <v>45</v>
      </c>
    </row>
    <row r="5" spans="1:6" x14ac:dyDescent="0.25">
      <c r="A5" s="6">
        <v>46174</v>
      </c>
      <c r="B5" s="7" t="s">
        <v>46</v>
      </c>
      <c r="C5" s="8">
        <v>3</v>
      </c>
      <c r="D5" s="9">
        <v>189.9</v>
      </c>
      <c r="E5" s="7" t="s">
        <v>47</v>
      </c>
      <c r="F5" s="9">
        <f t="shared" ref="F5:F16" si="0">C5*D5</f>
        <v>569.70000000000005</v>
      </c>
    </row>
    <row r="6" spans="1:6" x14ac:dyDescent="0.25">
      <c r="A6" s="10">
        <v>46174</v>
      </c>
      <c r="B6" s="11" t="s">
        <v>48</v>
      </c>
      <c r="C6" s="12">
        <v>8</v>
      </c>
      <c r="D6" s="13">
        <v>99.9</v>
      </c>
      <c r="E6" s="11" t="s">
        <v>33</v>
      </c>
      <c r="F6" s="13">
        <f t="shared" si="0"/>
        <v>799.2</v>
      </c>
    </row>
    <row r="7" spans="1:6" x14ac:dyDescent="0.25">
      <c r="A7" s="6">
        <v>46175</v>
      </c>
      <c r="B7" s="7" t="s">
        <v>49</v>
      </c>
      <c r="C7" s="8">
        <v>2</v>
      </c>
      <c r="D7" s="9">
        <v>149</v>
      </c>
      <c r="E7" s="7" t="s">
        <v>50</v>
      </c>
      <c r="F7" s="9">
        <f t="shared" si="0"/>
        <v>298</v>
      </c>
    </row>
    <row r="8" spans="1:6" x14ac:dyDescent="0.25">
      <c r="A8" s="10">
        <v>46175</v>
      </c>
      <c r="B8" s="11" t="s">
        <v>51</v>
      </c>
      <c r="C8" s="12">
        <v>1</v>
      </c>
      <c r="D8" s="13">
        <v>1899</v>
      </c>
      <c r="E8" s="11" t="s">
        <v>47</v>
      </c>
      <c r="F8" s="13">
        <f t="shared" si="0"/>
        <v>1899</v>
      </c>
    </row>
    <row r="9" spans="1:6" x14ac:dyDescent="0.25">
      <c r="A9" s="6">
        <v>46176</v>
      </c>
      <c r="B9" s="7" t="s">
        <v>52</v>
      </c>
      <c r="C9" s="8">
        <v>5</v>
      </c>
      <c r="D9" s="9">
        <v>89.9</v>
      </c>
      <c r="E9" s="7" t="s">
        <v>53</v>
      </c>
      <c r="F9" s="9">
        <f t="shared" si="0"/>
        <v>449.5</v>
      </c>
    </row>
    <row r="10" spans="1:6" x14ac:dyDescent="0.25">
      <c r="A10" s="10">
        <v>46176</v>
      </c>
      <c r="B10" s="11" t="s">
        <v>54</v>
      </c>
      <c r="C10" s="12">
        <v>4</v>
      </c>
      <c r="D10" s="13">
        <v>349</v>
      </c>
      <c r="E10" s="11" t="s">
        <v>33</v>
      </c>
      <c r="F10" s="13">
        <f t="shared" si="0"/>
        <v>1396</v>
      </c>
    </row>
    <row r="11" spans="1:6" x14ac:dyDescent="0.25">
      <c r="A11" s="6">
        <v>46177</v>
      </c>
      <c r="B11" s="7" t="s">
        <v>55</v>
      </c>
      <c r="C11" s="8">
        <v>2</v>
      </c>
      <c r="D11" s="9">
        <v>259.89999999999998</v>
      </c>
      <c r="E11" s="7" t="s">
        <v>47</v>
      </c>
      <c r="F11" s="9">
        <f t="shared" si="0"/>
        <v>519.79999999999995</v>
      </c>
    </row>
    <row r="12" spans="1:6" x14ac:dyDescent="0.25">
      <c r="A12" s="10">
        <v>46177</v>
      </c>
      <c r="B12" s="11" t="s">
        <v>56</v>
      </c>
      <c r="C12" s="12">
        <v>12</v>
      </c>
      <c r="D12" s="13">
        <v>59.9</v>
      </c>
      <c r="E12" s="11" t="s">
        <v>33</v>
      </c>
      <c r="F12" s="13">
        <f t="shared" si="0"/>
        <v>718.8</v>
      </c>
    </row>
    <row r="13" spans="1:6" x14ac:dyDescent="0.25">
      <c r="A13" s="6">
        <v>46178</v>
      </c>
      <c r="B13" s="7" t="s">
        <v>57</v>
      </c>
      <c r="C13" s="8">
        <v>6</v>
      </c>
      <c r="D13" s="9">
        <v>219</v>
      </c>
      <c r="E13" s="7" t="s">
        <v>50</v>
      </c>
      <c r="F13" s="9">
        <f t="shared" si="0"/>
        <v>1314</v>
      </c>
    </row>
    <row r="14" spans="1:6" x14ac:dyDescent="0.25">
      <c r="A14" s="10">
        <v>46178</v>
      </c>
      <c r="B14" s="11" t="s">
        <v>58</v>
      </c>
      <c r="C14" s="12">
        <v>7</v>
      </c>
      <c r="D14" s="13">
        <v>159.9</v>
      </c>
      <c r="E14" s="11" t="s">
        <v>53</v>
      </c>
      <c r="F14" s="13">
        <f t="shared" si="0"/>
        <v>1119.3</v>
      </c>
    </row>
    <row r="15" spans="1:6" x14ac:dyDescent="0.25">
      <c r="A15" s="6">
        <v>46179</v>
      </c>
      <c r="B15" s="7" t="s">
        <v>59</v>
      </c>
      <c r="C15" s="8">
        <v>2</v>
      </c>
      <c r="D15" s="9">
        <v>579</v>
      </c>
      <c r="E15" s="7" t="s">
        <v>47</v>
      </c>
      <c r="F15" s="9">
        <f t="shared" si="0"/>
        <v>1158</v>
      </c>
    </row>
    <row r="16" spans="1:6" x14ac:dyDescent="0.25">
      <c r="A16" s="10">
        <v>46179</v>
      </c>
      <c r="B16" s="11" t="s">
        <v>60</v>
      </c>
      <c r="C16" s="12">
        <v>15</v>
      </c>
      <c r="D16" s="13">
        <v>49.9</v>
      </c>
      <c r="E16" s="11" t="s">
        <v>33</v>
      </c>
      <c r="F16" s="13">
        <f t="shared" si="0"/>
        <v>748.5</v>
      </c>
    </row>
    <row r="18" spans="2:3" ht="15.75" x14ac:dyDescent="0.25">
      <c r="B18" s="14" t="s">
        <v>61</v>
      </c>
    </row>
    <row r="19" spans="2:3" x14ac:dyDescent="0.25">
      <c r="B19" s="15" t="s">
        <v>62</v>
      </c>
      <c r="C19" s="16">
        <f>SUM(F5:F16)</f>
        <v>10989.8</v>
      </c>
    </row>
    <row r="20" spans="2:3" x14ac:dyDescent="0.25">
      <c r="B20" s="15" t="s">
        <v>63</v>
      </c>
      <c r="C20" s="16">
        <f>AVERAGE(F5:F16)</f>
        <v>915.81666666666661</v>
      </c>
    </row>
    <row r="21" spans="2:3" x14ac:dyDescent="0.25">
      <c r="B21" s="15" t="s">
        <v>64</v>
      </c>
      <c r="C21" s="16">
        <f>MAX(F5:F16)</f>
        <v>1899</v>
      </c>
    </row>
    <row r="22" spans="2:3" x14ac:dyDescent="0.25">
      <c r="B22" s="15" t="s">
        <v>65</v>
      </c>
      <c r="C22" s="16">
        <f>MIN(F5:F16)</f>
        <v>298</v>
      </c>
    </row>
  </sheetData>
  <autoFilter ref="A4:F16" xr:uid="{00000000-0009-0000-0000-000001000000}"/>
  <mergeCells count="1">
    <mergeCell ref="A1:F1"/>
  </mergeCells>
  <pageMargins left="0.5" right="0.5" top="1" bottom="1" header="0.5" footer="0.5"/>
  <pageSetup fitToHeight="0" orientation="landscape"/>
  <headerFooter>
    <oddHeader>&amp;CControle de Vendas — Loja da Mariana</oddHeader>
    <oddFooter>&amp;CPágina &amp;P de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C13"/>
  <sheetViews>
    <sheetView workbookViewId="0">
      <selection activeCell="F8" sqref="F8"/>
    </sheetView>
  </sheetViews>
  <sheetFormatPr defaultRowHeight="15" x14ac:dyDescent="0.25"/>
  <cols>
    <col min="1" max="1" width="22" customWidth="1"/>
    <col min="2" max="2" width="30" customWidth="1"/>
    <col min="3" max="3" width="70" customWidth="1"/>
  </cols>
  <sheetData>
    <row r="1" spans="1:3" ht="17.25" x14ac:dyDescent="0.3">
      <c r="A1" s="22" t="s">
        <v>66</v>
      </c>
      <c r="B1" s="23"/>
      <c r="C1" s="23"/>
    </row>
    <row r="2" spans="1:3" ht="30" customHeight="1" x14ac:dyDescent="0.25">
      <c r="A2" s="25" t="s">
        <v>67</v>
      </c>
      <c r="B2" s="23"/>
      <c r="C2" s="23"/>
    </row>
    <row r="4" spans="1:3" x14ac:dyDescent="0.25">
      <c r="A4" s="17" t="s">
        <v>68</v>
      </c>
      <c r="B4" s="17" t="s">
        <v>69</v>
      </c>
      <c r="C4" s="17" t="s">
        <v>70</v>
      </c>
    </row>
    <row r="5" spans="1:3" ht="60" customHeight="1" x14ac:dyDescent="0.25">
      <c r="A5" s="18" t="s">
        <v>71</v>
      </c>
      <c r="B5" s="19" t="s">
        <v>72</v>
      </c>
      <c r="C5" s="19" t="s">
        <v>92</v>
      </c>
    </row>
    <row r="6" spans="1:3" ht="60" customHeight="1" x14ac:dyDescent="0.25">
      <c r="A6" s="20" t="s">
        <v>73</v>
      </c>
      <c r="B6" s="21" t="s">
        <v>74</v>
      </c>
      <c r="C6" s="21" t="s">
        <v>75</v>
      </c>
    </row>
    <row r="7" spans="1:3" ht="60" customHeight="1" x14ac:dyDescent="0.25">
      <c r="A7" s="18" t="s">
        <v>76</v>
      </c>
      <c r="B7" s="19" t="s">
        <v>77</v>
      </c>
      <c r="C7" s="19" t="s">
        <v>78</v>
      </c>
    </row>
    <row r="8" spans="1:3" ht="60" customHeight="1" x14ac:dyDescent="0.25">
      <c r="A8" s="20" t="s">
        <v>79</v>
      </c>
      <c r="B8" s="21" t="s">
        <v>80</v>
      </c>
      <c r="C8" s="21" t="s">
        <v>81</v>
      </c>
    </row>
    <row r="9" spans="1:3" ht="60" customHeight="1" x14ac:dyDescent="0.25">
      <c r="A9" s="18" t="s">
        <v>82</v>
      </c>
      <c r="B9" s="19" t="s">
        <v>83</v>
      </c>
      <c r="C9" s="19" t="s">
        <v>84</v>
      </c>
    </row>
    <row r="10" spans="1:3" ht="60" customHeight="1" x14ac:dyDescent="0.25">
      <c r="A10" s="20" t="s">
        <v>85</v>
      </c>
      <c r="B10" s="21" t="s">
        <v>86</v>
      </c>
      <c r="C10" s="21" t="s">
        <v>87</v>
      </c>
    </row>
    <row r="11" spans="1:3" ht="60" customHeight="1" x14ac:dyDescent="0.25">
      <c r="A11" s="18" t="s">
        <v>88</v>
      </c>
      <c r="B11" s="19" t="s">
        <v>89</v>
      </c>
      <c r="C11" s="19" t="s">
        <v>90</v>
      </c>
    </row>
    <row r="13" spans="1:3" ht="45" customHeight="1" x14ac:dyDescent="0.25">
      <c r="A13" s="24" t="s">
        <v>91</v>
      </c>
      <c r="B13" s="23"/>
      <c r="C13" s="23"/>
    </row>
  </sheetData>
  <mergeCells count="3">
    <mergeCell ref="A1:C1"/>
    <mergeCell ref="A13:C1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Antes</vt:lpstr>
      <vt:lpstr>Depois (Planilha Inteligente)</vt:lpstr>
      <vt:lpstr>Como pedir ao Claude</vt:lpstr>
      <vt:lpstr>'Depois (Planilha Inteligente)'!Area_de_impressao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Vitor Wilher Rodrigues de Lima</cp:lastModifiedBy>
  <dcterms:created xsi:type="dcterms:W3CDTF">2026-06-12T16:46:07Z</dcterms:created>
  <dcterms:modified xsi:type="dcterms:W3CDTF">2026-06-16T17:58:23Z</dcterms:modified>
</cp:coreProperties>
</file>